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torgft3330352-my.sharepoint.com/personal/premier_premierplasterla_com/Documents/Desktop/New Bid Folder/Bid/"/>
    </mc:Choice>
  </mc:AlternateContent>
  <xr:revisionPtr revIDLastSave="10" documentId="13_ncr:1_{C9EAD526-97A0-472C-9AFB-BCDCFD948EC9}" xr6:coauthVersionLast="47" xr6:coauthVersionMax="47" xr10:uidLastSave="{F2DCF628-3052-4690-BFAB-DF46449C93EF}"/>
  <bookViews>
    <workbookView xWindow="-120" yWindow="-120" windowWidth="29040" windowHeight="15720" xr2:uid="{00000000-000D-0000-FFFF-FFFF00000000}"/>
  </bookViews>
  <sheets>
    <sheet name="3 Coat" sheetId="1" r:id="rId1"/>
    <sheet name="1 Co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5" i="1"/>
  <c r="I15" i="1" s="1"/>
  <c r="D14" i="1"/>
  <c r="I14" i="1" s="1"/>
  <c r="H15" i="1"/>
  <c r="J15" i="1" l="1"/>
  <c r="H14" i="1"/>
  <c r="J14" i="1" s="1"/>
  <c r="C8" i="1" l="1"/>
  <c r="C7" i="1"/>
  <c r="D7" i="1" s="1"/>
  <c r="D29" i="2"/>
  <c r="I29" i="2" s="1"/>
  <c r="D28" i="2"/>
  <c r="I28" i="2" s="1"/>
  <c r="I23" i="2"/>
  <c r="D25" i="2"/>
  <c r="J25" i="2" s="1"/>
  <c r="D24" i="2"/>
  <c r="H24" i="2" s="1"/>
  <c r="J24" i="2" s="1"/>
  <c r="D20" i="2"/>
  <c r="I20" i="2" s="1"/>
  <c r="D18" i="2"/>
  <c r="I18" i="2" s="1"/>
  <c r="D17" i="2"/>
  <c r="D16" i="2"/>
  <c r="I16" i="2" s="1"/>
  <c r="C15" i="2"/>
  <c r="D14" i="2"/>
  <c r="I14" i="2" s="1"/>
  <c r="D13" i="2"/>
  <c r="H13" i="2" s="1"/>
  <c r="D12" i="2"/>
  <c r="I12" i="2" s="1"/>
  <c r="D11" i="2"/>
  <c r="H11" i="2" s="1"/>
  <c r="C10" i="2"/>
  <c r="D10" i="2" s="1"/>
  <c r="H10" i="2" s="1"/>
  <c r="C9" i="2"/>
  <c r="D9" i="2" s="1"/>
  <c r="C8" i="2"/>
  <c r="D8" i="2" s="1"/>
  <c r="H8" i="2" s="1"/>
  <c r="C7" i="2"/>
  <c r="D5" i="2"/>
  <c r="I10" i="2" s="1"/>
  <c r="D4" i="2"/>
  <c r="I9" i="2" s="1"/>
  <c r="C3" i="2"/>
  <c r="C19" i="2" s="1"/>
  <c r="D19" i="2" s="1"/>
  <c r="C3" i="1"/>
  <c r="C29" i="1" s="1"/>
  <c r="D18" i="1"/>
  <c r="I18" i="1" s="1"/>
  <c r="D19" i="1"/>
  <c r="D22" i="1"/>
  <c r="I22" i="1" s="1"/>
  <c r="C10" i="1"/>
  <c r="H22" i="1" l="1"/>
  <c r="J22" i="1" s="1"/>
  <c r="H18" i="1"/>
  <c r="J18" i="1" s="1"/>
  <c r="C23" i="2"/>
  <c r="C25" i="1"/>
  <c r="D25" i="1" s="1"/>
  <c r="H25" i="1" s="1"/>
  <c r="C24" i="1"/>
  <c r="D3" i="1"/>
  <c r="I25" i="1"/>
  <c r="I24" i="1"/>
  <c r="C22" i="2"/>
  <c r="D22" i="2" s="1"/>
  <c r="H22" i="2" s="1"/>
  <c r="H28" i="2"/>
  <c r="J28" i="2" s="1"/>
  <c r="C30" i="2"/>
  <c r="H29" i="2"/>
  <c r="J29" i="2" s="1"/>
  <c r="C27" i="2"/>
  <c r="D27" i="2" s="1"/>
  <c r="C32" i="1"/>
  <c r="D15" i="2"/>
  <c r="I15" i="2" s="1"/>
  <c r="D3" i="2"/>
  <c r="D30" i="2" s="1"/>
  <c r="I11" i="2"/>
  <c r="J11" i="2" s="1"/>
  <c r="H17" i="2"/>
  <c r="I13" i="2"/>
  <c r="J13" i="2" s="1"/>
  <c r="J10" i="2"/>
  <c r="I17" i="2"/>
  <c r="I22" i="2"/>
  <c r="C32" i="2"/>
  <c r="D32" i="2" s="1"/>
  <c r="J32" i="2" s="1"/>
  <c r="I19" i="2"/>
  <c r="H19" i="2"/>
  <c r="I8" i="2"/>
  <c r="J8" i="2" s="1"/>
  <c r="D7" i="2"/>
  <c r="H12" i="2"/>
  <c r="J12" i="2" s="1"/>
  <c r="H14" i="2"/>
  <c r="J14" i="2" s="1"/>
  <c r="H16" i="2"/>
  <c r="J16" i="2" s="1"/>
  <c r="H18" i="2"/>
  <c r="J18" i="2" s="1"/>
  <c r="I7" i="2"/>
  <c r="H20" i="2"/>
  <c r="J20" i="2" s="1"/>
  <c r="D12" i="1"/>
  <c r="J25" i="1" l="1"/>
  <c r="I30" i="2"/>
  <c r="H30" i="2"/>
  <c r="H27" i="2"/>
  <c r="I27" i="2"/>
  <c r="J23" i="2"/>
  <c r="D23" i="2"/>
  <c r="H23" i="2" s="1"/>
  <c r="J17" i="2"/>
  <c r="H15" i="2"/>
  <c r="J15" i="2" s="1"/>
  <c r="J22" i="2"/>
  <c r="J19" i="2"/>
  <c r="H9" i="2"/>
  <c r="J9" i="2" s="1"/>
  <c r="H7" i="2"/>
  <c r="J7" i="2" s="1"/>
  <c r="I12" i="1"/>
  <c r="H12" i="1"/>
  <c r="D27" i="1"/>
  <c r="J27" i="1" s="1"/>
  <c r="D26" i="1"/>
  <c r="H26" i="1" s="1"/>
  <c r="J26" i="1" s="1"/>
  <c r="D8" i="1"/>
  <c r="H8" i="1" s="1"/>
  <c r="D10" i="1"/>
  <c r="H10" i="1" s="1"/>
  <c r="C9" i="1"/>
  <c r="D9" i="1" s="1"/>
  <c r="D4" i="1"/>
  <c r="D5" i="1"/>
  <c r="I10" i="1" s="1"/>
  <c r="D11" i="1"/>
  <c r="H11" i="1" s="1"/>
  <c r="D13" i="1"/>
  <c r="D16" i="1"/>
  <c r="I16" i="1" s="1"/>
  <c r="D20" i="1"/>
  <c r="I20" i="1" s="1"/>
  <c r="D30" i="1"/>
  <c r="I30" i="1" s="1"/>
  <c r="D31" i="1"/>
  <c r="I31" i="1" l="1"/>
  <c r="H13" i="1"/>
  <c r="D17" i="1"/>
  <c r="J30" i="2"/>
  <c r="J27" i="2"/>
  <c r="J35" i="2" s="1"/>
  <c r="J36" i="2" s="1"/>
  <c r="H19" i="1"/>
  <c r="H7" i="1"/>
  <c r="I7" i="1"/>
  <c r="J10" i="1"/>
  <c r="I9" i="1"/>
  <c r="D32" i="1"/>
  <c r="C34" i="1"/>
  <c r="D34" i="1" s="1"/>
  <c r="J34" i="1" s="1"/>
  <c r="I8" i="1"/>
  <c r="I19" i="1"/>
  <c r="H20" i="1"/>
  <c r="J20" i="1" s="1"/>
  <c r="I13" i="1"/>
  <c r="H16" i="1"/>
  <c r="J16" i="1" s="1"/>
  <c r="H31" i="1"/>
  <c r="H30" i="1"/>
  <c r="J30" i="1" s="1"/>
  <c r="I11" i="1"/>
  <c r="J12" i="1"/>
  <c r="D24" i="1"/>
  <c r="H24" i="1" s="1"/>
  <c r="J24" i="1" s="1"/>
  <c r="D29" i="1"/>
  <c r="C21" i="1"/>
  <c r="D21" i="1" s="1"/>
  <c r="J31" i="1" l="1"/>
  <c r="J13" i="1"/>
  <c r="J19" i="1"/>
  <c r="I17" i="1"/>
  <c r="H17" i="1"/>
  <c r="J11" i="1"/>
  <c r="H32" i="1"/>
  <c r="I32" i="1"/>
  <c r="H9" i="1"/>
  <c r="J8" i="1"/>
  <c r="I21" i="1"/>
  <c r="H21" i="1"/>
  <c r="I29" i="1"/>
  <c r="H29" i="1"/>
  <c r="J17" i="1" l="1"/>
  <c r="J32" i="1"/>
  <c r="J21" i="1"/>
  <c r="J29" i="1"/>
  <c r="J7" i="1"/>
  <c r="J37" i="1" l="1"/>
  <c r="J38" i="1" s="1"/>
</calcChain>
</file>

<file path=xl/sharedStrings.xml><?xml version="1.0" encoding="utf-8"?>
<sst xmlns="http://schemas.openxmlformats.org/spreadsheetml/2006/main" count="88" uniqueCount="50">
  <si>
    <t xml:space="preserve">Project Name: </t>
  </si>
  <si>
    <t>Total yards</t>
  </si>
  <si>
    <t>Total Walls</t>
  </si>
  <si>
    <t>Total Ceiling</t>
  </si>
  <si>
    <t>Paper D</t>
  </si>
  <si>
    <t>TYVEK</t>
  </si>
  <si>
    <t>Rib Lath</t>
  </si>
  <si>
    <t>Corners</t>
  </si>
  <si>
    <t>XJ</t>
  </si>
  <si>
    <t>Alum. XJ</t>
  </si>
  <si>
    <t>Studs, nails, culking</t>
  </si>
  <si>
    <t>Sand</t>
  </si>
  <si>
    <t>Cement</t>
  </si>
  <si>
    <t>CMU</t>
  </si>
  <si>
    <t>Smooth</t>
  </si>
  <si>
    <t>Sand 20/30</t>
  </si>
  <si>
    <t>Sand 16/20</t>
  </si>
  <si>
    <t>A/C System</t>
  </si>
  <si>
    <t>Desrciption</t>
  </si>
  <si>
    <t>total material needed</t>
  </si>
  <si>
    <t>total material needed +10%</t>
  </si>
  <si>
    <t>total unit price with tax per yd.</t>
  </si>
  <si>
    <t>Labor</t>
  </si>
  <si>
    <t>total material Cost</t>
  </si>
  <si>
    <t>total labor cost</t>
  </si>
  <si>
    <t>Total Material + Labor</t>
  </si>
  <si>
    <t>Totals</t>
  </si>
  <si>
    <t>Scratch And Brown</t>
  </si>
  <si>
    <t>Color Coat</t>
  </si>
  <si>
    <t>Lath</t>
  </si>
  <si>
    <t>AAAAAAAAAAAAAAAAA</t>
  </si>
  <si>
    <t>Weep screed #7</t>
  </si>
  <si>
    <t>Milcore</t>
  </si>
  <si>
    <t>Drip edge #2</t>
  </si>
  <si>
    <t>Wire (structural)</t>
  </si>
  <si>
    <t>Planters</t>
  </si>
  <si>
    <t>Material Unit Price</t>
  </si>
  <si>
    <t xml:space="preserve">Total cost: </t>
  </si>
  <si>
    <t>Total $/yd:</t>
  </si>
  <si>
    <t>Cleaning and masking</t>
  </si>
  <si>
    <t>Soffit Vent ga.</t>
  </si>
  <si>
    <t>WP behind XJ - 9"</t>
  </si>
  <si>
    <t>WP parapets - 12"</t>
  </si>
  <si>
    <t>1 - Coat</t>
  </si>
  <si>
    <t>Stuccoat Base (Unsanded)</t>
  </si>
  <si>
    <t>Stuccoat Base (Sanded)</t>
  </si>
  <si>
    <t>Aluminum XJ</t>
  </si>
  <si>
    <t>XXXXXXXXXXXXXXXXX</t>
  </si>
  <si>
    <t>Drip Head #6</t>
  </si>
  <si>
    <t>Drip Edge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</si>
</sst>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3" x14ac:knownFonts="1">
    <font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164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" fontId="0" fillId="0" borderId="3" xfId="0" applyNumberFormat="1" applyBorder="1"/>
    <xf numFmtId="1" fontId="0" fillId="0" borderId="1" xfId="0" applyNumberFormat="1" applyBorder="1"/>
    <xf numFmtId="0" fontId="0" fillId="0" borderId="17" xfId="0" applyBorder="1" applyAlignment="1">
      <alignment wrapText="1"/>
    </xf>
    <xf numFmtId="0" fontId="0" fillId="0" borderId="20" xfId="0" applyBorder="1"/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6" xfId="0" applyNumberFormat="1" applyBorder="1"/>
    <xf numFmtId="44" fontId="0" fillId="0" borderId="0" xfId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1" fontId="0" fillId="0" borderId="0" xfId="0" applyNumberFormat="1"/>
    <xf numFmtId="44" fontId="0" fillId="0" borderId="0" xfId="1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7" borderId="18" xfId="0" applyFill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9" xfId="0" applyBorder="1"/>
    <xf numFmtId="2" fontId="0" fillId="0" borderId="8" xfId="0" applyNumberFormat="1" applyBorder="1" applyAlignment="1">
      <alignment wrapText="1"/>
    </xf>
    <xf numFmtId="2" fontId="0" fillId="0" borderId="8" xfId="0" applyNumberFormat="1" applyBorder="1"/>
    <xf numFmtId="164" fontId="0" fillId="0" borderId="8" xfId="0" applyNumberFormat="1" applyBorder="1"/>
    <xf numFmtId="2" fontId="0" fillId="0" borderId="9" xfId="0" applyNumberFormat="1" applyBorder="1"/>
    <xf numFmtId="0" fontId="0" fillId="0" borderId="2" xfId="0" applyBorder="1"/>
    <xf numFmtId="0" fontId="0" fillId="0" borderId="5" xfId="0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wrapText="1"/>
    </xf>
    <xf numFmtId="0" fontId="0" fillId="8" borderId="9" xfId="0" applyFill="1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27" xfId="0" applyBorder="1"/>
    <xf numFmtId="164" fontId="0" fillId="0" borderId="3" xfId="0" applyNumberFormat="1" applyBorder="1"/>
    <xf numFmtId="164" fontId="0" fillId="0" borderId="3" xfId="0" applyNumberFormat="1" applyBorder="1" applyAlignment="1">
      <alignment wrapText="1"/>
    </xf>
    <xf numFmtId="2" fontId="0" fillId="0" borderId="4" xfId="0" applyNumberFormat="1" applyBorder="1"/>
    <xf numFmtId="0" fontId="0" fillId="0" borderId="7" xfId="0" applyBorder="1"/>
    <xf numFmtId="164" fontId="0" fillId="0" borderId="8" xfId="0" applyNumberFormat="1" applyBorder="1" applyAlignment="1">
      <alignment wrapText="1"/>
    </xf>
    <xf numFmtId="44" fontId="0" fillId="0" borderId="0" xfId="1" applyFont="1" applyAlignment="1">
      <alignment vertical="center"/>
    </xf>
    <xf numFmtId="44" fontId="0" fillId="0" borderId="0" xfId="0" applyNumberFormat="1"/>
    <xf numFmtId="44" fontId="0" fillId="0" borderId="0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selection activeCell="D20" sqref="D20"/>
    </sheetView>
  </sheetViews>
  <sheetFormatPr defaultRowHeight="16.5" x14ac:dyDescent="0.3"/>
  <cols>
    <col min="1" max="1" width="14" customWidth="1"/>
    <col min="2" max="2" width="18.5" customWidth="1"/>
    <col min="3" max="3" width="14" customWidth="1"/>
    <col min="4" max="4" width="13.625" customWidth="1"/>
    <col min="5" max="6" width="15.375" style="1" customWidth="1"/>
    <col min="7" max="7" width="6.5" customWidth="1"/>
    <col min="8" max="8" width="14" style="1" customWidth="1"/>
    <col min="9" max="9" width="10.625" style="1" customWidth="1"/>
    <col min="10" max="10" width="13.875" customWidth="1"/>
    <col min="13" max="17" width="21.25" bestFit="1" customWidth="1"/>
    <col min="18" max="18" width="9.75" customWidth="1"/>
  </cols>
  <sheetData>
    <row r="1" spans="1:22" ht="17.25" thickBot="1" x14ac:dyDescent="0.35">
      <c r="A1" s="15" t="s">
        <v>0</v>
      </c>
      <c r="B1" s="76" t="s">
        <v>47</v>
      </c>
      <c r="C1" s="76"/>
      <c r="D1" s="76"/>
      <c r="E1" s="76"/>
      <c r="F1" s="76"/>
      <c r="G1" s="76"/>
      <c r="H1" s="76"/>
      <c r="I1" s="76"/>
      <c r="J1" s="77"/>
      <c r="N1" s="66"/>
      <c r="O1" s="66"/>
      <c r="P1" s="66"/>
      <c r="Q1" s="66"/>
      <c r="R1" s="66"/>
      <c r="S1" s="66"/>
      <c r="T1" s="66"/>
      <c r="U1" s="66"/>
      <c r="V1" s="66"/>
    </row>
    <row r="2" spans="1:22" ht="42" customHeight="1" thickBot="1" x14ac:dyDescent="0.35">
      <c r="B2" s="19" t="s">
        <v>18</v>
      </c>
      <c r="C2" s="18" t="s">
        <v>19</v>
      </c>
      <c r="D2" s="18" t="s">
        <v>20</v>
      </c>
      <c r="E2" s="18" t="s">
        <v>21</v>
      </c>
      <c r="F2" s="18" t="s">
        <v>36</v>
      </c>
      <c r="G2" s="19" t="s">
        <v>22</v>
      </c>
      <c r="H2" s="18" t="s">
        <v>23</v>
      </c>
      <c r="I2" s="18" t="s">
        <v>24</v>
      </c>
      <c r="J2" s="18" t="s">
        <v>25</v>
      </c>
      <c r="M2" s="35"/>
    </row>
    <row r="3" spans="1:22" x14ac:dyDescent="0.3">
      <c r="A3" s="67" t="s">
        <v>26</v>
      </c>
      <c r="B3" s="11" t="s">
        <v>1</v>
      </c>
      <c r="C3" s="4">
        <f>C4+C5</f>
        <v>0</v>
      </c>
      <c r="D3" s="4">
        <f>C3*1.1</f>
        <v>0</v>
      </c>
      <c r="E3" s="5"/>
      <c r="F3" s="5"/>
      <c r="G3" s="4"/>
      <c r="H3" s="5"/>
      <c r="I3" s="5"/>
      <c r="J3" s="6"/>
      <c r="M3" s="34"/>
      <c r="N3" s="32"/>
      <c r="O3" s="32"/>
      <c r="Q3" s="1"/>
      <c r="R3" s="1"/>
      <c r="T3" s="1"/>
      <c r="U3" s="1"/>
    </row>
    <row r="4" spans="1:22" x14ac:dyDescent="0.3">
      <c r="A4" s="68"/>
      <c r="B4" s="12" t="s">
        <v>2</v>
      </c>
      <c r="C4" s="2"/>
      <c r="D4" s="2">
        <f t="shared" ref="D4:D31" si="0">C4*1.1</f>
        <v>0</v>
      </c>
      <c r="E4" s="3"/>
      <c r="F4" s="3"/>
      <c r="G4" s="2"/>
      <c r="H4" s="3"/>
      <c r="I4" s="3"/>
      <c r="J4" s="7"/>
      <c r="M4" s="34"/>
      <c r="N4" s="34"/>
      <c r="O4" s="34"/>
      <c r="P4" s="34"/>
      <c r="Q4" s="34"/>
      <c r="R4" s="1"/>
      <c r="T4" s="1"/>
      <c r="U4" s="1"/>
    </row>
    <row r="5" spans="1:22" ht="17.25" thickBot="1" x14ac:dyDescent="0.35">
      <c r="A5" s="69"/>
      <c r="B5" s="13" t="s">
        <v>3</v>
      </c>
      <c r="C5" s="8"/>
      <c r="D5" s="8">
        <f t="shared" si="0"/>
        <v>0</v>
      </c>
      <c r="E5" s="9"/>
      <c r="F5" s="9"/>
      <c r="G5" s="8"/>
      <c r="H5" s="9"/>
      <c r="I5" s="9"/>
      <c r="J5" s="10"/>
      <c r="M5" s="34"/>
      <c r="Q5" s="1"/>
      <c r="R5" s="1"/>
      <c r="T5" s="1"/>
      <c r="U5" s="1"/>
    </row>
    <row r="6" spans="1:22" ht="17.25" thickBot="1" x14ac:dyDescent="0.35">
      <c r="B6" s="23"/>
      <c r="D6" s="14"/>
      <c r="G6" s="23"/>
      <c r="H6" s="24"/>
      <c r="I6" s="25"/>
      <c r="J6" s="23"/>
      <c r="M6" s="31"/>
      <c r="Q6" s="1"/>
      <c r="R6" s="1"/>
      <c r="T6" s="1"/>
      <c r="U6" s="1"/>
    </row>
    <row r="7" spans="1:22" x14ac:dyDescent="0.3">
      <c r="A7" s="78" t="s">
        <v>29</v>
      </c>
      <c r="B7" s="44" t="s">
        <v>34</v>
      </c>
      <c r="C7" s="4">
        <f>C4/45</f>
        <v>0</v>
      </c>
      <c r="D7" s="58">
        <f t="shared" si="0"/>
        <v>0</v>
      </c>
      <c r="E7" s="5">
        <v>1.5</v>
      </c>
      <c r="F7" s="5">
        <v>97.1</v>
      </c>
      <c r="G7" s="4">
        <v>5</v>
      </c>
      <c r="H7" s="5">
        <f>F7*$D$7</f>
        <v>0</v>
      </c>
      <c r="I7" s="5">
        <f>G7*$D$4</f>
        <v>0</v>
      </c>
      <c r="J7" s="6">
        <f>I7+H7</f>
        <v>0</v>
      </c>
      <c r="M7" s="65"/>
      <c r="N7" s="32"/>
      <c r="O7" s="32"/>
      <c r="Q7" s="1"/>
      <c r="R7" s="1"/>
      <c r="T7" s="1"/>
      <c r="U7" s="1"/>
    </row>
    <row r="8" spans="1:22" x14ac:dyDescent="0.3">
      <c r="A8" s="79"/>
      <c r="B8" s="45" t="s">
        <v>4</v>
      </c>
      <c r="C8" s="16">
        <f>C4/45*3</f>
        <v>0</v>
      </c>
      <c r="D8" s="16">
        <f t="shared" si="0"/>
        <v>0</v>
      </c>
      <c r="E8" s="3">
        <v>1.01</v>
      </c>
      <c r="F8" s="3">
        <v>18.5</v>
      </c>
      <c r="G8" s="2">
        <v>5</v>
      </c>
      <c r="H8" s="26">
        <f>F8*D8</f>
        <v>0</v>
      </c>
      <c r="I8" s="3">
        <f t="shared" ref="I8" si="1">G8*$D$4</f>
        <v>0</v>
      </c>
      <c r="J8" s="27">
        <f t="shared" ref="J8:J31" si="2">I8+H8</f>
        <v>0</v>
      </c>
      <c r="M8" s="65"/>
      <c r="N8" s="32"/>
      <c r="O8" s="32"/>
      <c r="Q8" s="1"/>
      <c r="R8" s="1"/>
      <c r="T8" s="1"/>
      <c r="U8" s="1"/>
    </row>
    <row r="9" spans="1:22" x14ac:dyDescent="0.3">
      <c r="A9" s="79"/>
      <c r="B9" s="45" t="s">
        <v>5</v>
      </c>
      <c r="C9" s="16">
        <f>C4/111</f>
        <v>0</v>
      </c>
      <c r="D9" s="16">
        <f t="shared" si="0"/>
        <v>0</v>
      </c>
      <c r="E9" s="3">
        <v>2</v>
      </c>
      <c r="F9" s="3">
        <v>204</v>
      </c>
      <c r="G9" s="2">
        <v>4.5</v>
      </c>
      <c r="H9" s="3">
        <f t="shared" ref="H9" si="3">F9*$D$7</f>
        <v>0</v>
      </c>
      <c r="I9" s="3">
        <f>G9*$D$4</f>
        <v>0</v>
      </c>
      <c r="J9" s="27"/>
      <c r="M9" s="65"/>
      <c r="N9" s="65"/>
      <c r="O9" s="65"/>
      <c r="P9" s="32"/>
      <c r="Q9" s="1"/>
      <c r="R9" s="1"/>
      <c r="T9" s="1"/>
      <c r="U9" s="1"/>
      <c r="V9" s="29"/>
    </row>
    <row r="10" spans="1:22" x14ac:dyDescent="0.3">
      <c r="A10" s="79"/>
      <c r="B10" s="45" t="s">
        <v>6</v>
      </c>
      <c r="C10" s="16">
        <f>C5/1.5</f>
        <v>0</v>
      </c>
      <c r="D10" s="16">
        <f t="shared" si="0"/>
        <v>0</v>
      </c>
      <c r="E10" s="3">
        <v>2</v>
      </c>
      <c r="F10" s="3">
        <v>21.274999999999999</v>
      </c>
      <c r="G10" s="2">
        <v>2.5</v>
      </c>
      <c r="H10" s="26">
        <f>F10*D10</f>
        <v>0</v>
      </c>
      <c r="I10" s="26">
        <f>G10*D5</f>
        <v>0</v>
      </c>
      <c r="J10" s="27">
        <f>I10+H10</f>
        <v>0</v>
      </c>
      <c r="M10" s="34"/>
      <c r="O10" s="29"/>
      <c r="P10" s="29"/>
      <c r="Q10" s="1"/>
      <c r="R10" s="1"/>
      <c r="T10" s="30"/>
      <c r="U10" s="30"/>
      <c r="V10" s="29"/>
    </row>
    <row r="11" spans="1:22" x14ac:dyDescent="0.3">
      <c r="A11" s="79"/>
      <c r="B11" s="45" t="s">
        <v>7</v>
      </c>
      <c r="C11" s="2">
        <v>0</v>
      </c>
      <c r="D11" s="2">
        <f t="shared" si="0"/>
        <v>0</v>
      </c>
      <c r="E11" s="3">
        <v>0.28749999999999998</v>
      </c>
      <c r="F11" s="3">
        <v>2.1</v>
      </c>
      <c r="G11" s="2">
        <v>2</v>
      </c>
      <c r="H11" s="3">
        <f t="shared" ref="H11:H21" si="4">D11*E11</f>
        <v>0</v>
      </c>
      <c r="I11" s="3">
        <f t="shared" ref="I11:I21" si="5">G11*D11</f>
        <v>0</v>
      </c>
      <c r="J11" s="7">
        <f t="shared" si="2"/>
        <v>0</v>
      </c>
      <c r="M11" s="34"/>
      <c r="Q11" s="1"/>
      <c r="R11" s="1"/>
      <c r="T11" s="1"/>
      <c r="U11" s="1"/>
    </row>
    <row r="12" spans="1:22" x14ac:dyDescent="0.3">
      <c r="A12" s="79"/>
      <c r="B12" s="45" t="s">
        <v>32</v>
      </c>
      <c r="C12" s="2">
        <v>0</v>
      </c>
      <c r="D12" s="2">
        <f t="shared" si="0"/>
        <v>0</v>
      </c>
      <c r="E12" s="3">
        <v>0.7</v>
      </c>
      <c r="F12" s="3"/>
      <c r="G12" s="2">
        <v>2</v>
      </c>
      <c r="H12" s="3">
        <f t="shared" si="4"/>
        <v>0</v>
      </c>
      <c r="I12" s="3">
        <f t="shared" si="5"/>
        <v>0</v>
      </c>
      <c r="J12" s="7">
        <f t="shared" si="2"/>
        <v>0</v>
      </c>
      <c r="M12" s="34"/>
      <c r="Q12" s="1"/>
      <c r="R12" s="1"/>
      <c r="T12" s="1"/>
      <c r="U12" s="1"/>
    </row>
    <row r="13" spans="1:22" x14ac:dyDescent="0.3">
      <c r="A13" s="79"/>
      <c r="B13" s="45" t="s">
        <v>31</v>
      </c>
      <c r="C13" s="2">
        <v>0</v>
      </c>
      <c r="D13" s="2">
        <f t="shared" si="0"/>
        <v>0</v>
      </c>
      <c r="E13" s="3">
        <v>1.0349999999999999</v>
      </c>
      <c r="F13" s="3">
        <v>6.4</v>
      </c>
      <c r="G13" s="2">
        <v>2</v>
      </c>
      <c r="H13" s="3">
        <f t="shared" si="4"/>
        <v>0</v>
      </c>
      <c r="I13" s="3">
        <f t="shared" si="5"/>
        <v>0</v>
      </c>
      <c r="J13" s="7">
        <f t="shared" si="2"/>
        <v>0</v>
      </c>
      <c r="M13" s="34"/>
      <c r="Q13" s="1"/>
      <c r="R13" s="1"/>
      <c r="T13" s="1"/>
      <c r="U13" s="1"/>
    </row>
    <row r="14" spans="1:22" x14ac:dyDescent="0.3">
      <c r="A14" s="79"/>
      <c r="B14" s="50" t="s">
        <v>48</v>
      </c>
      <c r="C14" s="51">
        <v>0</v>
      </c>
      <c r="D14" s="51">
        <f t="shared" si="0"/>
        <v>0</v>
      </c>
      <c r="E14" s="52">
        <v>1.62</v>
      </c>
      <c r="F14" s="52">
        <v>16.14</v>
      </c>
      <c r="G14" s="51">
        <v>2</v>
      </c>
      <c r="H14" s="52">
        <f>E14*D14</f>
        <v>0</v>
      </c>
      <c r="I14" s="52">
        <f>G14*D14</f>
        <v>0</v>
      </c>
      <c r="J14" s="53">
        <f>I14+H14</f>
        <v>0</v>
      </c>
      <c r="M14" s="34"/>
      <c r="Q14" s="1"/>
      <c r="R14" s="1"/>
      <c r="T14" s="1"/>
      <c r="U14" s="1"/>
    </row>
    <row r="15" spans="1:22" x14ac:dyDescent="0.3">
      <c r="A15" s="79"/>
      <c r="B15" s="50" t="s">
        <v>49</v>
      </c>
      <c r="C15" s="51">
        <v>0</v>
      </c>
      <c r="D15" s="51">
        <f t="shared" si="0"/>
        <v>0</v>
      </c>
      <c r="E15" s="52">
        <v>1.99</v>
      </c>
      <c r="F15" s="52">
        <v>19.82</v>
      </c>
      <c r="G15" s="51">
        <v>2</v>
      </c>
      <c r="H15" s="52">
        <f>E15*D15</f>
        <v>0</v>
      </c>
      <c r="I15" s="52">
        <f>G15*D15</f>
        <v>0</v>
      </c>
      <c r="J15" s="53">
        <f>I15+H15</f>
        <v>0</v>
      </c>
      <c r="M15" s="34"/>
      <c r="Q15" s="1"/>
      <c r="R15" s="1"/>
      <c r="T15" s="1"/>
      <c r="U15" s="1"/>
    </row>
    <row r="16" spans="1:22" ht="17.25" thickBot="1" x14ac:dyDescent="0.35">
      <c r="A16" s="79"/>
      <c r="B16" s="61" t="s">
        <v>33</v>
      </c>
      <c r="C16" s="8">
        <v>0</v>
      </c>
      <c r="D16" s="8">
        <f t="shared" si="0"/>
        <v>0</v>
      </c>
      <c r="E16" s="9">
        <v>3.68</v>
      </c>
      <c r="F16" s="9"/>
      <c r="G16" s="8">
        <v>2</v>
      </c>
      <c r="H16" s="9">
        <f t="shared" si="4"/>
        <v>0</v>
      </c>
      <c r="I16" s="9">
        <f t="shared" si="5"/>
        <v>0</v>
      </c>
      <c r="J16" s="10">
        <f t="shared" si="2"/>
        <v>0</v>
      </c>
      <c r="M16" s="34"/>
      <c r="Q16" s="1"/>
      <c r="R16" s="1"/>
      <c r="T16" s="1"/>
      <c r="U16" s="1"/>
    </row>
    <row r="17" spans="1:21" x14ac:dyDescent="0.3">
      <c r="A17" s="79"/>
      <c r="B17" s="44" t="s">
        <v>41</v>
      </c>
      <c r="C17" s="58">
        <f>(C19+C13+C14+C15+C20+C16)/75</f>
        <v>0</v>
      </c>
      <c r="D17" s="58">
        <f>(D19+D13)/75</f>
        <v>0</v>
      </c>
      <c r="E17" s="5">
        <v>0.7</v>
      </c>
      <c r="F17" s="5">
        <v>45</v>
      </c>
      <c r="G17" s="4">
        <v>75</v>
      </c>
      <c r="H17" s="5">
        <f>D17*F17</f>
        <v>0</v>
      </c>
      <c r="I17" s="59">
        <f>G17*D17</f>
        <v>0</v>
      </c>
      <c r="J17" s="60">
        <f>I17+H17</f>
        <v>0</v>
      </c>
      <c r="M17" s="34"/>
      <c r="Q17" s="1"/>
      <c r="R17" s="1"/>
      <c r="T17" s="1"/>
      <c r="U17" s="1"/>
    </row>
    <row r="18" spans="1:21" ht="17.25" thickBot="1" x14ac:dyDescent="0.35">
      <c r="A18" s="79"/>
      <c r="B18" s="61" t="s">
        <v>42</v>
      </c>
      <c r="C18" s="42"/>
      <c r="D18" s="42">
        <f>C18/75*1.1</f>
        <v>0</v>
      </c>
      <c r="E18" s="9"/>
      <c r="F18" s="9">
        <v>59</v>
      </c>
      <c r="G18" s="8">
        <v>75</v>
      </c>
      <c r="H18" s="9">
        <f>D18*F18</f>
        <v>0</v>
      </c>
      <c r="I18" s="62">
        <f>G18*D18</f>
        <v>0</v>
      </c>
      <c r="J18" s="43">
        <f t="shared" si="2"/>
        <v>0</v>
      </c>
      <c r="M18" s="34"/>
      <c r="Q18" s="1"/>
      <c r="R18" s="1"/>
      <c r="T18" s="1"/>
      <c r="U18" s="1"/>
    </row>
    <row r="19" spans="1:21" x14ac:dyDescent="0.3">
      <c r="A19" s="79"/>
      <c r="B19" s="54" t="s">
        <v>8</v>
      </c>
      <c r="C19" s="55">
        <v>0</v>
      </c>
      <c r="D19" s="55">
        <f>C19*1.1</f>
        <v>0</v>
      </c>
      <c r="E19" s="56">
        <v>1.2</v>
      </c>
      <c r="F19" s="56">
        <v>11.85</v>
      </c>
      <c r="G19" s="55">
        <v>2</v>
      </c>
      <c r="H19" s="56">
        <f t="shared" si="4"/>
        <v>0</v>
      </c>
      <c r="I19" s="56">
        <f t="shared" si="5"/>
        <v>0</v>
      </c>
      <c r="J19" s="57">
        <f t="shared" si="2"/>
        <v>0</v>
      </c>
      <c r="M19" s="34"/>
      <c r="Q19" s="1"/>
      <c r="R19" s="1"/>
      <c r="T19" s="1"/>
      <c r="U19" s="1"/>
    </row>
    <row r="20" spans="1:21" x14ac:dyDescent="0.3">
      <c r="A20" s="79"/>
      <c r="B20" s="45" t="s">
        <v>46</v>
      </c>
      <c r="C20" s="2"/>
      <c r="D20" s="2">
        <f t="shared" si="0"/>
        <v>0</v>
      </c>
      <c r="E20" s="3">
        <v>6</v>
      </c>
      <c r="F20" s="3"/>
      <c r="G20" s="2">
        <v>3</v>
      </c>
      <c r="H20" s="3">
        <f t="shared" si="4"/>
        <v>0</v>
      </c>
      <c r="I20" s="3">
        <f t="shared" si="5"/>
        <v>0</v>
      </c>
      <c r="J20" s="7">
        <f t="shared" si="2"/>
        <v>0</v>
      </c>
      <c r="M20" s="34"/>
      <c r="Q20" s="1"/>
      <c r="R20" s="1"/>
      <c r="T20" s="1"/>
      <c r="U20" s="1"/>
    </row>
    <row r="21" spans="1:21" x14ac:dyDescent="0.3">
      <c r="A21" s="79"/>
      <c r="B21" s="45" t="s">
        <v>10</v>
      </c>
      <c r="C21" s="2">
        <f>C3</f>
        <v>0</v>
      </c>
      <c r="D21" s="2">
        <f t="shared" si="0"/>
        <v>0</v>
      </c>
      <c r="E21" s="3">
        <v>2</v>
      </c>
      <c r="F21" s="3"/>
      <c r="G21" s="2"/>
      <c r="H21" s="3">
        <f t="shared" si="4"/>
        <v>0</v>
      </c>
      <c r="I21" s="3">
        <f t="shared" si="5"/>
        <v>0</v>
      </c>
      <c r="J21" s="7">
        <f t="shared" si="2"/>
        <v>0</v>
      </c>
      <c r="M21" s="63"/>
      <c r="N21" s="64"/>
      <c r="Q21" s="1"/>
      <c r="R21" s="1"/>
      <c r="T21" s="1"/>
      <c r="U21" s="1"/>
    </row>
    <row r="22" spans="1:21" ht="17.25" thickBot="1" x14ac:dyDescent="0.35">
      <c r="A22" s="80"/>
      <c r="B22" s="46" t="s">
        <v>40</v>
      </c>
      <c r="C22" s="47"/>
      <c r="D22" s="47">
        <f>C22*1.1</f>
        <v>0</v>
      </c>
      <c r="E22" s="48"/>
      <c r="F22" s="48"/>
      <c r="G22" s="47">
        <v>2</v>
      </c>
      <c r="H22" s="48">
        <f>D22*F22</f>
        <v>0</v>
      </c>
      <c r="I22" s="48">
        <f>D22*G22</f>
        <v>0</v>
      </c>
      <c r="J22" s="49">
        <f>I22+H22</f>
        <v>0</v>
      </c>
      <c r="L22" s="29"/>
      <c r="M22" s="34"/>
      <c r="Q22" s="1"/>
      <c r="R22" s="1"/>
      <c r="T22" s="1"/>
      <c r="U22" s="1"/>
    </row>
    <row r="23" spans="1:21" ht="17.25" thickBot="1" x14ac:dyDescent="0.35">
      <c r="A23" s="17"/>
      <c r="D23" s="14"/>
      <c r="M23" s="17"/>
      <c r="Q23" s="1"/>
      <c r="R23" s="1"/>
      <c r="T23" s="1"/>
      <c r="U23" s="1"/>
    </row>
    <row r="24" spans="1:21" x14ac:dyDescent="0.3">
      <c r="A24" s="70" t="s">
        <v>27</v>
      </c>
      <c r="B24" s="4" t="s">
        <v>11</v>
      </c>
      <c r="C24" s="4">
        <f>C3/415</f>
        <v>0</v>
      </c>
      <c r="D24" s="4">
        <f t="shared" si="0"/>
        <v>0</v>
      </c>
      <c r="E24" s="5">
        <v>3.88</v>
      </c>
      <c r="F24" s="5">
        <v>1500</v>
      </c>
      <c r="G24" s="4">
        <v>5</v>
      </c>
      <c r="H24" s="5">
        <f>F24*D24</f>
        <v>0</v>
      </c>
      <c r="I24" s="5">
        <f>G24*C3</f>
        <v>0</v>
      </c>
      <c r="J24" s="6">
        <f>I24+H24</f>
        <v>0</v>
      </c>
      <c r="M24" s="33"/>
      <c r="Q24" s="1"/>
      <c r="R24" s="1"/>
      <c r="T24" s="1"/>
      <c r="U24" s="1"/>
    </row>
    <row r="25" spans="1:21" x14ac:dyDescent="0.3">
      <c r="A25" s="71"/>
      <c r="B25" s="2" t="s">
        <v>12</v>
      </c>
      <c r="C25" s="2">
        <f>C3/2.8</f>
        <v>0</v>
      </c>
      <c r="D25" s="2">
        <f>C25*1.1</f>
        <v>0</v>
      </c>
      <c r="E25" s="3">
        <v>4.5599999999999996</v>
      </c>
      <c r="F25" s="3">
        <v>12.2</v>
      </c>
      <c r="G25" s="2">
        <v>5</v>
      </c>
      <c r="H25" s="3">
        <f>F25*D25</f>
        <v>0</v>
      </c>
      <c r="I25" s="3">
        <f>G25*C3</f>
        <v>0</v>
      </c>
      <c r="J25" s="7">
        <f>I25+H25</f>
        <v>0</v>
      </c>
      <c r="M25" s="33"/>
      <c r="Q25" s="1"/>
      <c r="R25" s="1"/>
      <c r="T25" s="1"/>
      <c r="U25" s="1"/>
    </row>
    <row r="26" spans="1:21" x14ac:dyDescent="0.3">
      <c r="A26" s="71"/>
      <c r="B26" s="2" t="s">
        <v>13</v>
      </c>
      <c r="C26" s="2">
        <v>0</v>
      </c>
      <c r="D26" s="2">
        <f>C26*1.1</f>
        <v>0</v>
      </c>
      <c r="E26" s="3"/>
      <c r="F26" s="3"/>
      <c r="G26" s="2"/>
      <c r="H26" s="3">
        <f>E26*D26</f>
        <v>0</v>
      </c>
      <c r="I26" s="3"/>
      <c r="J26" s="7">
        <f t="shared" si="2"/>
        <v>0</v>
      </c>
      <c r="M26" s="33"/>
      <c r="Q26" s="1"/>
      <c r="R26" s="1"/>
      <c r="T26" s="1"/>
      <c r="U26" s="1"/>
    </row>
    <row r="27" spans="1:21" ht="15" customHeight="1" thickBot="1" x14ac:dyDescent="0.35">
      <c r="A27" s="72"/>
      <c r="B27" s="8" t="s">
        <v>35</v>
      </c>
      <c r="C27" s="8">
        <v>0</v>
      </c>
      <c r="D27" s="8">
        <f>C27*1.1</f>
        <v>0</v>
      </c>
      <c r="E27" s="9"/>
      <c r="F27" s="9"/>
      <c r="G27" s="8">
        <v>45</v>
      </c>
      <c r="H27" s="9"/>
      <c r="I27" s="9"/>
      <c r="J27" s="10">
        <f>D27*G27</f>
        <v>0</v>
      </c>
      <c r="M27" s="33"/>
      <c r="Q27" s="1"/>
      <c r="R27" s="1"/>
      <c r="T27" s="1"/>
      <c r="U27" s="1"/>
    </row>
    <row r="28" spans="1:21" ht="17.25" thickBot="1" x14ac:dyDescent="0.35">
      <c r="D28" s="14"/>
      <c r="E28" s="22"/>
      <c r="F28" s="22"/>
      <c r="G28" s="14"/>
      <c r="H28" s="22"/>
      <c r="I28" s="22"/>
      <c r="J28" s="14"/>
      <c r="Q28" s="1"/>
      <c r="R28" s="1"/>
      <c r="T28" s="1"/>
      <c r="U28" s="1"/>
    </row>
    <row r="29" spans="1:21" x14ac:dyDescent="0.3">
      <c r="A29" s="73" t="s">
        <v>28</v>
      </c>
      <c r="B29" s="4" t="s">
        <v>14</v>
      </c>
      <c r="C29" s="20">
        <f>C3</f>
        <v>0</v>
      </c>
      <c r="D29" s="20">
        <f t="shared" si="0"/>
        <v>0</v>
      </c>
      <c r="E29" s="5">
        <v>1.65</v>
      </c>
      <c r="F29" s="5"/>
      <c r="G29" s="4">
        <v>10</v>
      </c>
      <c r="H29" s="5">
        <f>E29*D29</f>
        <v>0</v>
      </c>
      <c r="I29" s="5">
        <f>G29*D29</f>
        <v>0</v>
      </c>
      <c r="J29" s="6">
        <f t="shared" si="2"/>
        <v>0</v>
      </c>
      <c r="M29" s="34"/>
      <c r="O29" s="31"/>
      <c r="P29" s="31"/>
      <c r="Q29" s="1"/>
      <c r="R29" s="1"/>
      <c r="T29" s="1"/>
      <c r="U29" s="1"/>
    </row>
    <row r="30" spans="1:21" x14ac:dyDescent="0.3">
      <c r="A30" s="74"/>
      <c r="B30" s="2" t="s">
        <v>15</v>
      </c>
      <c r="C30" s="21"/>
      <c r="D30" s="21">
        <f t="shared" si="0"/>
        <v>0</v>
      </c>
      <c r="E30" s="3">
        <v>1.55</v>
      </c>
      <c r="F30" s="3"/>
      <c r="G30" s="2">
        <v>8</v>
      </c>
      <c r="H30" s="3">
        <f>E30*D30</f>
        <v>0</v>
      </c>
      <c r="I30" s="3">
        <f>G30*D30</f>
        <v>0</v>
      </c>
      <c r="J30" s="7">
        <f t="shared" si="2"/>
        <v>0</v>
      </c>
      <c r="M30" s="34"/>
      <c r="O30" s="31"/>
      <c r="P30" s="31"/>
      <c r="Q30" s="1"/>
      <c r="R30" s="1"/>
      <c r="T30" s="1"/>
      <c r="U30" s="1"/>
    </row>
    <row r="31" spans="1:21" x14ac:dyDescent="0.3">
      <c r="A31" s="74"/>
      <c r="B31" s="2" t="s">
        <v>16</v>
      </c>
      <c r="C31" s="2"/>
      <c r="D31" s="2">
        <f t="shared" si="0"/>
        <v>0</v>
      </c>
      <c r="E31" s="3">
        <v>1.55</v>
      </c>
      <c r="F31" s="3"/>
      <c r="G31" s="2">
        <v>7</v>
      </c>
      <c r="H31" s="3">
        <f>E31*D31</f>
        <v>0</v>
      </c>
      <c r="I31" s="3">
        <f>G31*D31</f>
        <v>0</v>
      </c>
      <c r="J31" s="7">
        <f t="shared" si="2"/>
        <v>0</v>
      </c>
      <c r="M31" s="34"/>
      <c r="Q31" s="1"/>
      <c r="R31" s="1"/>
      <c r="T31" s="1"/>
      <c r="U31" s="1"/>
    </row>
    <row r="32" spans="1:21" ht="17.25" thickBot="1" x14ac:dyDescent="0.35">
      <c r="A32" s="75"/>
      <c r="B32" s="8" t="s">
        <v>17</v>
      </c>
      <c r="C32" s="41">
        <f>C3/4.75</f>
        <v>0</v>
      </c>
      <c r="D32" s="42">
        <f>D3/4.75</f>
        <v>0</v>
      </c>
      <c r="E32" s="9">
        <v>10.56</v>
      </c>
      <c r="F32" s="9"/>
      <c r="G32" s="8">
        <v>2</v>
      </c>
      <c r="H32" s="40">
        <f>E32*D32</f>
        <v>0</v>
      </c>
      <c r="I32" s="40">
        <f>G32*D32</f>
        <v>0</v>
      </c>
      <c r="J32" s="43">
        <f>I32+H32</f>
        <v>0</v>
      </c>
      <c r="M32" s="34"/>
      <c r="Q32" s="1"/>
      <c r="R32" s="1"/>
      <c r="T32" s="1"/>
      <c r="U32" s="1"/>
    </row>
    <row r="33" spans="1:22" ht="17.25" thickBot="1" x14ac:dyDescent="0.35">
      <c r="Q33" s="1"/>
      <c r="R33" s="1"/>
      <c r="T33" s="1"/>
      <c r="U33" s="1"/>
    </row>
    <row r="34" spans="1:22" ht="33.75" thickBot="1" x14ac:dyDescent="0.35">
      <c r="A34" s="36" t="s">
        <v>39</v>
      </c>
      <c r="B34" s="37"/>
      <c r="C34" s="37">
        <f>C3</f>
        <v>0</v>
      </c>
      <c r="D34" s="37">
        <f>C34*1.1</f>
        <v>0</v>
      </c>
      <c r="E34" s="38"/>
      <c r="F34" s="38"/>
      <c r="G34" s="37">
        <v>10</v>
      </c>
      <c r="H34" s="38"/>
      <c r="I34" s="38"/>
      <c r="J34" s="39">
        <f>G34*D34</f>
        <v>0</v>
      </c>
      <c r="Q34" s="1"/>
      <c r="R34" s="1"/>
      <c r="T34" s="1"/>
      <c r="U34" s="1"/>
    </row>
    <row r="35" spans="1:22" x14ac:dyDescent="0.3">
      <c r="Q35" s="1"/>
      <c r="R35" s="1"/>
      <c r="T35" s="1"/>
      <c r="U35" s="1"/>
    </row>
    <row r="36" spans="1:22" x14ac:dyDescent="0.3">
      <c r="Q36" s="1"/>
      <c r="R36" s="1"/>
      <c r="T36" s="1"/>
      <c r="U36" s="1"/>
    </row>
    <row r="37" spans="1:22" x14ac:dyDescent="0.3">
      <c r="I37" s="1" t="s">
        <v>37</v>
      </c>
      <c r="J37" s="28">
        <f>SUM(J7:J31)+J34</f>
        <v>0</v>
      </c>
      <c r="Q37" s="1"/>
      <c r="R37" s="1"/>
      <c r="T37" s="1"/>
      <c r="U37" s="1"/>
      <c r="V37" s="32"/>
    </row>
    <row r="38" spans="1:22" x14ac:dyDescent="0.3">
      <c r="I38" s="1" t="s">
        <v>38</v>
      </c>
      <c r="J38" t="e">
        <f>J37/D3</f>
        <v>#DIV/0!</v>
      </c>
    </row>
  </sheetData>
  <mergeCells count="6">
    <mergeCell ref="N1:V1"/>
    <mergeCell ref="A3:A5"/>
    <mergeCell ref="A24:A27"/>
    <mergeCell ref="A29:A32"/>
    <mergeCell ref="B1:J1"/>
    <mergeCell ref="A7:A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topLeftCell="A2" workbookViewId="0">
      <selection activeCell="M4" sqref="M4"/>
    </sheetView>
  </sheetViews>
  <sheetFormatPr defaultRowHeight="16.5" x14ac:dyDescent="0.3"/>
  <cols>
    <col min="1" max="1" width="18.75" bestFit="1" customWidth="1"/>
    <col min="2" max="2" width="25.625" bestFit="1" customWidth="1"/>
    <col min="3" max="10" width="12.875" customWidth="1"/>
  </cols>
  <sheetData>
    <row r="1" spans="1:10" ht="17.25" thickBot="1" x14ac:dyDescent="0.35">
      <c r="A1" s="15" t="s">
        <v>0</v>
      </c>
      <c r="B1" s="76" t="s">
        <v>30</v>
      </c>
      <c r="C1" s="76"/>
      <c r="D1" s="76"/>
      <c r="E1" s="76"/>
      <c r="F1" s="76"/>
      <c r="G1" s="76"/>
      <c r="H1" s="76"/>
      <c r="I1" s="76"/>
      <c r="J1" s="77"/>
    </row>
    <row r="2" spans="1:10" ht="72" thickBot="1" x14ac:dyDescent="0.35">
      <c r="B2" s="19" t="s">
        <v>18</v>
      </c>
      <c r="C2" s="18" t="s">
        <v>19</v>
      </c>
      <c r="D2" s="18" t="s">
        <v>20</v>
      </c>
      <c r="E2" s="18" t="s">
        <v>21</v>
      </c>
      <c r="F2" s="18" t="s">
        <v>36</v>
      </c>
      <c r="G2" s="19" t="s">
        <v>22</v>
      </c>
      <c r="H2" s="18" t="s">
        <v>23</v>
      </c>
      <c r="I2" s="18" t="s">
        <v>24</v>
      </c>
      <c r="J2" s="18" t="s">
        <v>25</v>
      </c>
    </row>
    <row r="3" spans="1:10" x14ac:dyDescent="0.3">
      <c r="A3" s="67" t="s">
        <v>26</v>
      </c>
      <c r="B3" s="11" t="s">
        <v>1</v>
      </c>
      <c r="C3" s="4">
        <f>C4+C5</f>
        <v>0</v>
      </c>
      <c r="D3" s="4">
        <f>C3*1.1</f>
        <v>0</v>
      </c>
      <c r="E3" s="5"/>
      <c r="F3" s="5"/>
      <c r="G3" s="4"/>
      <c r="H3" s="5"/>
      <c r="I3" s="5"/>
      <c r="J3" s="6"/>
    </row>
    <row r="4" spans="1:10" x14ac:dyDescent="0.3">
      <c r="A4" s="68"/>
      <c r="B4" s="12" t="s">
        <v>2</v>
      </c>
      <c r="C4" s="2"/>
      <c r="D4" s="2">
        <f t="shared" ref="D4:D22" si="0">C4*1.1</f>
        <v>0</v>
      </c>
      <c r="E4" s="3"/>
      <c r="F4" s="3"/>
      <c r="G4" s="2"/>
      <c r="H4" s="3"/>
      <c r="I4" s="3"/>
      <c r="J4" s="7"/>
    </row>
    <row r="5" spans="1:10" ht="17.25" thickBot="1" x14ac:dyDescent="0.35">
      <c r="A5" s="69"/>
      <c r="B5" s="13" t="s">
        <v>3</v>
      </c>
      <c r="C5" s="8">
        <v>0</v>
      </c>
      <c r="D5" s="8">
        <f t="shared" si="0"/>
        <v>0</v>
      </c>
      <c r="E5" s="9"/>
      <c r="F5" s="9"/>
      <c r="G5" s="8"/>
      <c r="H5" s="9"/>
      <c r="I5" s="9"/>
      <c r="J5" s="10"/>
    </row>
    <row r="6" spans="1:10" ht="17.25" thickBot="1" x14ac:dyDescent="0.35">
      <c r="B6" s="23"/>
      <c r="D6" s="14"/>
      <c r="E6" s="1"/>
      <c r="F6" s="1"/>
      <c r="G6" s="23"/>
      <c r="H6" s="24"/>
      <c r="I6" s="25"/>
      <c r="J6" s="23"/>
    </row>
    <row r="7" spans="1:10" x14ac:dyDescent="0.3">
      <c r="A7" s="78" t="s">
        <v>29</v>
      </c>
      <c r="B7" s="44" t="s">
        <v>34</v>
      </c>
      <c r="C7" s="4">
        <f>C4/50</f>
        <v>0</v>
      </c>
      <c r="D7" s="4">
        <f>D4/50</f>
        <v>0</v>
      </c>
      <c r="E7" s="5">
        <v>3.2</v>
      </c>
      <c r="F7" s="5">
        <v>100</v>
      </c>
      <c r="G7" s="4">
        <v>4.5</v>
      </c>
      <c r="H7" s="5">
        <f>F7*$D$7</f>
        <v>0</v>
      </c>
      <c r="I7" s="5">
        <f>G7*$D$4</f>
        <v>0</v>
      </c>
      <c r="J7" s="6">
        <f>I7+H7</f>
        <v>0</v>
      </c>
    </row>
    <row r="8" spans="1:10" x14ac:dyDescent="0.3">
      <c r="A8" s="79"/>
      <c r="B8" s="45" t="s">
        <v>4</v>
      </c>
      <c r="C8" s="16">
        <f>C4/45</f>
        <v>0</v>
      </c>
      <c r="D8" s="16">
        <f t="shared" si="0"/>
        <v>0</v>
      </c>
      <c r="E8" s="3">
        <v>0.33</v>
      </c>
      <c r="F8" s="3">
        <v>14.1</v>
      </c>
      <c r="G8" s="2">
        <v>4.5</v>
      </c>
      <c r="H8" s="26">
        <f>F8*D8</f>
        <v>0</v>
      </c>
      <c r="I8" s="3">
        <f t="shared" ref="I8" si="1">G8*$D$4</f>
        <v>0</v>
      </c>
      <c r="J8" s="27">
        <f t="shared" ref="J8:J24" si="2">I8+H8</f>
        <v>0</v>
      </c>
    </row>
    <row r="9" spans="1:10" x14ac:dyDescent="0.3">
      <c r="A9" s="79"/>
      <c r="B9" s="45" t="s">
        <v>5</v>
      </c>
      <c r="C9" s="16">
        <f>C4/111</f>
        <v>0</v>
      </c>
      <c r="D9" s="16">
        <f t="shared" si="0"/>
        <v>0</v>
      </c>
      <c r="E9" s="3">
        <v>2</v>
      </c>
      <c r="F9" s="3">
        <v>204</v>
      </c>
      <c r="G9" s="2">
        <v>4.5</v>
      </c>
      <c r="H9" s="3">
        <f t="shared" ref="H9" si="3">F9*$D$7</f>
        <v>0</v>
      </c>
      <c r="I9" s="3">
        <f>G9*$D$4</f>
        <v>0</v>
      </c>
      <c r="J9" s="27">
        <f t="shared" si="2"/>
        <v>0</v>
      </c>
    </row>
    <row r="10" spans="1:10" x14ac:dyDescent="0.3">
      <c r="A10" s="79"/>
      <c r="B10" s="45" t="s">
        <v>6</v>
      </c>
      <c r="C10" s="16">
        <f>C5/1.5</f>
        <v>0</v>
      </c>
      <c r="D10" s="16">
        <f t="shared" si="0"/>
        <v>0</v>
      </c>
      <c r="E10" s="3">
        <v>2</v>
      </c>
      <c r="F10" s="3">
        <v>18.5</v>
      </c>
      <c r="G10" s="2">
        <v>2.5</v>
      </c>
      <c r="H10" s="26">
        <f>F10*D10</f>
        <v>0</v>
      </c>
      <c r="I10" s="26">
        <f>G10*D5</f>
        <v>0</v>
      </c>
      <c r="J10" s="27">
        <f>I10+H10</f>
        <v>0</v>
      </c>
    </row>
    <row r="11" spans="1:10" x14ac:dyDescent="0.3">
      <c r="A11" s="79"/>
      <c r="B11" s="45" t="s">
        <v>7</v>
      </c>
      <c r="C11" s="2">
        <v>0</v>
      </c>
      <c r="D11" s="2">
        <f t="shared" si="0"/>
        <v>0</v>
      </c>
      <c r="E11" s="3">
        <v>0.25</v>
      </c>
      <c r="F11" s="3"/>
      <c r="G11" s="2">
        <v>2</v>
      </c>
      <c r="H11" s="3">
        <f t="shared" ref="H11:H19" si="4">D11*E11</f>
        <v>0</v>
      </c>
      <c r="I11" s="3">
        <f t="shared" ref="I11:I19" si="5">G11*D11</f>
        <v>0</v>
      </c>
      <c r="J11" s="7">
        <f t="shared" si="2"/>
        <v>0</v>
      </c>
    </row>
    <row r="12" spans="1:10" x14ac:dyDescent="0.3">
      <c r="A12" s="79"/>
      <c r="B12" s="45" t="s">
        <v>32</v>
      </c>
      <c r="C12" s="2"/>
      <c r="D12" s="2">
        <f t="shared" si="0"/>
        <v>0</v>
      </c>
      <c r="E12" s="3">
        <v>0.61</v>
      </c>
      <c r="F12" s="3"/>
      <c r="G12" s="2">
        <v>2</v>
      </c>
      <c r="H12" s="3">
        <f t="shared" si="4"/>
        <v>0</v>
      </c>
      <c r="I12" s="3">
        <f t="shared" si="5"/>
        <v>0</v>
      </c>
      <c r="J12" s="7">
        <f t="shared" si="2"/>
        <v>0</v>
      </c>
    </row>
    <row r="13" spans="1:10" x14ac:dyDescent="0.3">
      <c r="A13" s="79"/>
      <c r="B13" s="45" t="s">
        <v>31</v>
      </c>
      <c r="C13" s="2">
        <v>0</v>
      </c>
      <c r="D13" s="2">
        <f t="shared" si="0"/>
        <v>0</v>
      </c>
      <c r="E13" s="3">
        <v>0.9</v>
      </c>
      <c r="F13" s="3"/>
      <c r="G13" s="2">
        <v>2</v>
      </c>
      <c r="H13" s="3">
        <f t="shared" si="4"/>
        <v>0</v>
      </c>
      <c r="I13" s="3">
        <f t="shared" si="5"/>
        <v>0</v>
      </c>
      <c r="J13" s="7">
        <f t="shared" si="2"/>
        <v>0</v>
      </c>
    </row>
    <row r="14" spans="1:10" ht="17.25" thickBot="1" x14ac:dyDescent="0.35">
      <c r="A14" s="79"/>
      <c r="B14" s="50" t="s">
        <v>33</v>
      </c>
      <c r="C14" s="51"/>
      <c r="D14" s="51">
        <f t="shared" si="0"/>
        <v>0</v>
      </c>
      <c r="E14" s="52">
        <v>3.2</v>
      </c>
      <c r="F14" s="52"/>
      <c r="G14" s="51">
        <v>2</v>
      </c>
      <c r="H14" s="52">
        <f t="shared" si="4"/>
        <v>0</v>
      </c>
      <c r="I14" s="52">
        <f t="shared" si="5"/>
        <v>0</v>
      </c>
      <c r="J14" s="53">
        <f t="shared" si="2"/>
        <v>0</v>
      </c>
    </row>
    <row r="15" spans="1:10" x14ac:dyDescent="0.3">
      <c r="A15" s="79"/>
      <c r="B15" s="44" t="s">
        <v>41</v>
      </c>
      <c r="C15" s="58">
        <f>(C17+C13)/75</f>
        <v>0</v>
      </c>
      <c r="D15" s="58">
        <f>(D17+D13)/75</f>
        <v>0</v>
      </c>
      <c r="E15" s="5">
        <v>0.7</v>
      </c>
      <c r="F15" s="5">
        <v>45</v>
      </c>
      <c r="G15" s="4">
        <v>75</v>
      </c>
      <c r="H15" s="5">
        <f>D15*F15</f>
        <v>0</v>
      </c>
      <c r="I15" s="59">
        <f>G15*D15</f>
        <v>0</v>
      </c>
      <c r="J15" s="60">
        <f>I15+H15</f>
        <v>0</v>
      </c>
    </row>
    <row r="16" spans="1:10" ht="17.25" thickBot="1" x14ac:dyDescent="0.35">
      <c r="A16" s="79"/>
      <c r="B16" s="61" t="s">
        <v>42</v>
      </c>
      <c r="C16" s="42"/>
      <c r="D16" s="42">
        <f>C16/75*1.1</f>
        <v>0</v>
      </c>
      <c r="E16" s="9"/>
      <c r="F16" s="9">
        <v>59</v>
      </c>
      <c r="G16" s="8">
        <v>75</v>
      </c>
      <c r="H16" s="9">
        <f>D16*F16</f>
        <v>0</v>
      </c>
      <c r="I16" s="62">
        <f>G16*D16</f>
        <v>0</v>
      </c>
      <c r="J16" s="43">
        <f t="shared" si="2"/>
        <v>0</v>
      </c>
    </row>
    <row r="17" spans="1:21" x14ac:dyDescent="0.3">
      <c r="A17" s="79"/>
      <c r="B17" s="54" t="s">
        <v>8</v>
      </c>
      <c r="C17" s="55"/>
      <c r="D17" s="55">
        <f>C17*1.1</f>
        <v>0</v>
      </c>
      <c r="E17" s="56">
        <v>1.7</v>
      </c>
      <c r="F17" s="56"/>
      <c r="G17" s="55">
        <v>2</v>
      </c>
      <c r="H17" s="56">
        <f t="shared" si="4"/>
        <v>0</v>
      </c>
      <c r="I17" s="56">
        <f t="shared" si="5"/>
        <v>0</v>
      </c>
      <c r="J17" s="57">
        <f t="shared" si="2"/>
        <v>0</v>
      </c>
    </row>
    <row r="18" spans="1:21" x14ac:dyDescent="0.3">
      <c r="A18" s="79"/>
      <c r="B18" s="45" t="s">
        <v>9</v>
      </c>
      <c r="C18" s="2"/>
      <c r="D18" s="2">
        <f t="shared" si="0"/>
        <v>0</v>
      </c>
      <c r="E18" s="3">
        <v>2.5</v>
      </c>
      <c r="F18" s="3"/>
      <c r="G18" s="2">
        <v>3</v>
      </c>
      <c r="H18" s="3">
        <f t="shared" si="4"/>
        <v>0</v>
      </c>
      <c r="I18" s="3">
        <f t="shared" si="5"/>
        <v>0</v>
      </c>
      <c r="J18" s="7">
        <f t="shared" si="2"/>
        <v>0</v>
      </c>
    </row>
    <row r="19" spans="1:21" x14ac:dyDescent="0.3">
      <c r="A19" s="79"/>
      <c r="B19" s="45" t="s">
        <v>10</v>
      </c>
      <c r="C19" s="2">
        <f>C3</f>
        <v>0</v>
      </c>
      <c r="D19" s="2">
        <f t="shared" si="0"/>
        <v>0</v>
      </c>
      <c r="E19" s="3">
        <v>2</v>
      </c>
      <c r="F19" s="3"/>
      <c r="G19" s="2"/>
      <c r="H19" s="3">
        <f t="shared" si="4"/>
        <v>0</v>
      </c>
      <c r="I19" s="3">
        <f t="shared" si="5"/>
        <v>0</v>
      </c>
      <c r="J19" s="7">
        <f t="shared" si="2"/>
        <v>0</v>
      </c>
    </row>
    <row r="20" spans="1:21" ht="17.25" thickBot="1" x14ac:dyDescent="0.35">
      <c r="A20" s="80"/>
      <c r="B20" s="46" t="s">
        <v>40</v>
      </c>
      <c r="C20" s="47"/>
      <c r="D20" s="47">
        <f>C20*1.1</f>
        <v>0</v>
      </c>
      <c r="E20" s="48"/>
      <c r="F20" s="48"/>
      <c r="G20" s="47">
        <v>2</v>
      </c>
      <c r="H20" s="48">
        <f>D20*F20</f>
        <v>0</v>
      </c>
      <c r="I20" s="48">
        <f>D20*G20</f>
        <v>0</v>
      </c>
      <c r="J20" s="49">
        <f>I20+H20</f>
        <v>0</v>
      </c>
    </row>
    <row r="21" spans="1:21" ht="17.25" thickBot="1" x14ac:dyDescent="0.35">
      <c r="A21" s="17"/>
      <c r="D21" s="14"/>
      <c r="E21" s="1"/>
      <c r="F21" s="1"/>
      <c r="H21" s="1"/>
      <c r="I21" s="1"/>
    </row>
    <row r="22" spans="1:21" x14ac:dyDescent="0.3">
      <c r="A22" s="84" t="s">
        <v>27</v>
      </c>
      <c r="B22" s="44" t="s">
        <v>44</v>
      </c>
      <c r="C22" s="4">
        <f>C3/6</f>
        <v>0</v>
      </c>
      <c r="D22" s="4">
        <f t="shared" si="0"/>
        <v>0</v>
      </c>
      <c r="E22" s="5">
        <v>8.82</v>
      </c>
      <c r="F22" s="5"/>
      <c r="G22" s="4">
        <v>8</v>
      </c>
      <c r="H22" s="5">
        <f>F22*D22</f>
        <v>0</v>
      </c>
      <c r="I22" s="5">
        <f>G22*C3</f>
        <v>0</v>
      </c>
      <c r="J22" s="6">
        <f>E22*C22+I22</f>
        <v>0</v>
      </c>
    </row>
    <row r="23" spans="1:21" x14ac:dyDescent="0.3">
      <c r="A23" s="85"/>
      <c r="B23" s="45" t="s">
        <v>45</v>
      </c>
      <c r="C23" s="2">
        <f>C3/2.5</f>
        <v>0</v>
      </c>
      <c r="D23" s="2">
        <f>C23*1.1</f>
        <v>0</v>
      </c>
      <c r="E23" s="3">
        <v>8</v>
      </c>
      <c r="F23" s="3"/>
      <c r="G23" s="2">
        <v>8</v>
      </c>
      <c r="H23" s="3">
        <f>F23*D23</f>
        <v>0</v>
      </c>
      <c r="I23" s="3">
        <f>G23*C4</f>
        <v>0</v>
      </c>
      <c r="J23" s="7">
        <f>E23*C23+I23</f>
        <v>0</v>
      </c>
    </row>
    <row r="24" spans="1:21" x14ac:dyDescent="0.3">
      <c r="A24" s="86"/>
      <c r="B24" s="45" t="s">
        <v>13</v>
      </c>
      <c r="C24" s="2"/>
      <c r="D24" s="2">
        <f>C24*1.1</f>
        <v>0</v>
      </c>
      <c r="E24" s="3"/>
      <c r="F24" s="3"/>
      <c r="G24" s="2"/>
      <c r="H24" s="3">
        <f>E24*D24</f>
        <v>0</v>
      </c>
      <c r="I24" s="3"/>
      <c r="J24" s="7">
        <f t="shared" si="2"/>
        <v>0</v>
      </c>
    </row>
    <row r="25" spans="1:21" ht="17.25" thickBot="1" x14ac:dyDescent="0.35">
      <c r="A25" s="87"/>
      <c r="B25" s="61" t="s">
        <v>35</v>
      </c>
      <c r="C25" s="8"/>
      <c r="D25" s="8">
        <f>C25*1.1</f>
        <v>0</v>
      </c>
      <c r="E25" s="9"/>
      <c r="F25" s="9"/>
      <c r="G25" s="8">
        <v>45</v>
      </c>
      <c r="H25" s="9"/>
      <c r="I25" s="9"/>
      <c r="J25" s="10">
        <f>D25*G25</f>
        <v>0</v>
      </c>
    </row>
    <row r="26" spans="1:21" ht="17.25" thickBot="1" x14ac:dyDescent="0.35">
      <c r="D26" s="14"/>
      <c r="E26" s="22"/>
      <c r="F26" s="22"/>
      <c r="G26" s="14"/>
      <c r="H26" s="22"/>
      <c r="I26" s="22"/>
      <c r="J26" s="14"/>
    </row>
    <row r="27" spans="1:21" x14ac:dyDescent="0.3">
      <c r="A27" s="81" t="s">
        <v>43</v>
      </c>
      <c r="B27" s="44" t="s">
        <v>14</v>
      </c>
      <c r="C27" s="20">
        <f>C3</f>
        <v>0</v>
      </c>
      <c r="D27" s="20">
        <f>C27*1.1</f>
        <v>0</v>
      </c>
      <c r="E27" s="5">
        <v>1.65</v>
      </c>
      <c r="F27" s="5"/>
      <c r="G27" s="4">
        <v>10</v>
      </c>
      <c r="H27" s="5">
        <f>E27*D27</f>
        <v>0</v>
      </c>
      <c r="I27" s="5">
        <f>G27*D27</f>
        <v>0</v>
      </c>
      <c r="J27" s="6">
        <f>I27+H27</f>
        <v>0</v>
      </c>
      <c r="M27" s="34"/>
      <c r="O27" s="31"/>
      <c r="P27" s="31"/>
      <c r="Q27" s="1"/>
      <c r="R27" s="1"/>
      <c r="T27" s="1"/>
      <c r="U27" s="1"/>
    </row>
    <row r="28" spans="1:21" x14ac:dyDescent="0.3">
      <c r="A28" s="82"/>
      <c r="B28" s="45" t="s">
        <v>15</v>
      </c>
      <c r="C28" s="21"/>
      <c r="D28" s="21">
        <f t="shared" ref="D28:D29" si="6">C28*1.1</f>
        <v>0</v>
      </c>
      <c r="E28" s="3">
        <v>1.55</v>
      </c>
      <c r="F28" s="3"/>
      <c r="G28" s="2">
        <v>8</v>
      </c>
      <c r="H28" s="3">
        <f>E28*D28</f>
        <v>0</v>
      </c>
      <c r="I28" s="3">
        <f>G28*D28</f>
        <v>0</v>
      </c>
      <c r="J28" s="7">
        <f t="shared" ref="J28:J29" si="7">I28+H28</f>
        <v>0</v>
      </c>
      <c r="M28" s="34"/>
      <c r="Q28" s="1"/>
      <c r="R28" s="1"/>
      <c r="T28" s="1"/>
      <c r="U28" s="1"/>
    </row>
    <row r="29" spans="1:21" x14ac:dyDescent="0.3">
      <c r="A29" s="82"/>
      <c r="B29" s="45" t="s">
        <v>16</v>
      </c>
      <c r="C29" s="2"/>
      <c r="D29" s="2">
        <f t="shared" si="6"/>
        <v>0</v>
      </c>
      <c r="E29" s="3">
        <v>1.55</v>
      </c>
      <c r="F29" s="3"/>
      <c r="G29" s="2">
        <v>7</v>
      </c>
      <c r="H29" s="3">
        <f>E29*D29</f>
        <v>0</v>
      </c>
      <c r="I29" s="3">
        <f>G29*D29</f>
        <v>0</v>
      </c>
      <c r="J29" s="7">
        <f t="shared" si="7"/>
        <v>0</v>
      </c>
    </row>
    <row r="30" spans="1:21" ht="17.25" thickBot="1" x14ac:dyDescent="0.35">
      <c r="A30" s="83"/>
      <c r="B30" s="61" t="s">
        <v>17</v>
      </c>
      <c r="C30" s="41">
        <f>C3/4.75</f>
        <v>0</v>
      </c>
      <c r="D30" s="42">
        <f>D3/4.75</f>
        <v>0</v>
      </c>
      <c r="E30" s="9">
        <v>10.56</v>
      </c>
      <c r="F30" s="9"/>
      <c r="G30" s="8">
        <v>2</v>
      </c>
      <c r="H30" s="40">
        <f>E30*D30</f>
        <v>0</v>
      </c>
      <c r="I30" s="40">
        <f>G30*D30</f>
        <v>0</v>
      </c>
      <c r="J30" s="43">
        <f>I30+H30</f>
        <v>0</v>
      </c>
    </row>
    <row r="31" spans="1:21" ht="17.25" thickBot="1" x14ac:dyDescent="0.35">
      <c r="E31" s="1"/>
      <c r="F31" s="1"/>
      <c r="H31" s="1"/>
      <c r="I31" s="1"/>
    </row>
    <row r="32" spans="1:21" ht="33.75" thickBot="1" x14ac:dyDescent="0.35">
      <c r="A32" s="36" t="s">
        <v>39</v>
      </c>
      <c r="B32" s="37"/>
      <c r="C32" s="37">
        <f>C3</f>
        <v>0</v>
      </c>
      <c r="D32" s="37">
        <f>C32*1.1</f>
        <v>0</v>
      </c>
      <c r="E32" s="38"/>
      <c r="F32" s="38"/>
      <c r="G32" s="37">
        <v>10</v>
      </c>
      <c r="H32" s="38"/>
      <c r="I32" s="38"/>
      <c r="J32" s="39">
        <f>G32*D32</f>
        <v>0</v>
      </c>
    </row>
    <row r="33" spans="5:10" x14ac:dyDescent="0.3">
      <c r="E33" s="1"/>
      <c r="F33" s="1"/>
      <c r="H33" s="1"/>
      <c r="I33" s="1"/>
    </row>
    <row r="34" spans="5:10" x14ac:dyDescent="0.3">
      <c r="E34" s="1"/>
      <c r="F34" s="1"/>
      <c r="H34" s="1"/>
      <c r="I34" s="1"/>
    </row>
    <row r="35" spans="5:10" x14ac:dyDescent="0.3">
      <c r="E35" s="1"/>
      <c r="F35" s="1"/>
      <c r="H35" s="1"/>
      <c r="I35" s="1" t="s">
        <v>37</v>
      </c>
      <c r="J35" s="28">
        <f>SUM(J7:J29)+J32</f>
        <v>0</v>
      </c>
    </row>
    <row r="36" spans="5:10" x14ac:dyDescent="0.3">
      <c r="E36" s="1"/>
      <c r="F36" s="1"/>
      <c r="H36" s="1"/>
      <c r="I36" s="1" t="s">
        <v>38</v>
      </c>
      <c r="J36" t="e">
        <f>J35/D3</f>
        <v>#DIV/0!</v>
      </c>
    </row>
  </sheetData>
  <mergeCells count="5">
    <mergeCell ref="A27:A30"/>
    <mergeCell ref="B1:J1"/>
    <mergeCell ref="A3:A5"/>
    <mergeCell ref="A7:A20"/>
    <mergeCell ref="A22:A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57F079C981040B77C834560C95D2A" ma:contentTypeVersion="8" ma:contentTypeDescription="Create a new document." ma:contentTypeScope="" ma:versionID="5c86a00c43e297d0c62adfa1c1149c0a">
  <xsd:schema xmlns:xsd="http://www.w3.org/2001/XMLSchema" xmlns:xs="http://www.w3.org/2001/XMLSchema" xmlns:p="http://schemas.microsoft.com/office/2006/metadata/properties" xmlns:ns3="f990355e-b9b5-44ea-b12e-d96c7bed3366" xmlns:ns4="ea1316a6-c3d4-468f-b766-6cbe8647c896" targetNamespace="http://schemas.microsoft.com/office/2006/metadata/properties" ma:root="true" ma:fieldsID="f983d8841bd1998a207799681bbac716" ns3:_="" ns4:_="">
    <xsd:import namespace="f990355e-b9b5-44ea-b12e-d96c7bed3366"/>
    <xsd:import namespace="ea1316a6-c3d4-468f-b766-6cbe8647c8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0355e-b9b5-44ea-b12e-d96c7bed3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16a6-c3d4-468f-b766-6cbe8647c89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90355e-b9b5-44ea-b12e-d96c7bed3366" xsi:nil="true"/>
  </documentManagement>
</p:properties>
</file>

<file path=customXml/itemProps1.xml><?xml version="1.0" encoding="utf-8"?>
<ds:datastoreItem xmlns:ds="http://schemas.openxmlformats.org/officeDocument/2006/customXml" ds:itemID="{D8A3AFB2-4160-4716-9EBA-AC96D0CBE5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BD28BD-5815-493C-8710-FED5F609D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90355e-b9b5-44ea-b12e-d96c7bed3366"/>
    <ds:schemaRef ds:uri="ea1316a6-c3d4-468f-b766-6cbe8647c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1356FE-53B6-4A6A-98A5-BB20366A28E2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941C3BBB-2AFE-4781-AC39-80094CC5C63F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ea1316a6-c3d4-468f-b766-6cbe8647c896"/>
    <ds:schemaRef ds:uri="http://schemas.microsoft.com/office/2006/documentManagement/types"/>
    <ds:schemaRef ds:uri="http://schemas.microsoft.com/office/infopath/2007/PartnerControls"/>
    <ds:schemaRef ds:uri="f990355e-b9b5-44ea-b12e-d96c7bed33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Coat</vt:lpstr>
      <vt:lpstr>1 Coat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Estimating Dept. Premier Construction, Inc</cp:lastModifiedBy>
  <dcterms:created xsi:type="dcterms:W3CDTF">2021-07-30T16:13:37Z</dcterms:created>
  <dcterms:modified xsi:type="dcterms:W3CDTF">2026-01-12T20:37:22Z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{911356FE-53B6-4A6A-98A5-BB20366A28E2}</vt:lpwstr>
  </property>
  <property fmtid="{D5CDD505-2E9C-101B-9397-08002B2CF9AE}" pid="5" name="ContentTypeId">
    <vt:lpwstr>0x0101009F757F079C981040B77C834560C95D2A</vt:lpwstr>
  </property>
</Properties>
</file>